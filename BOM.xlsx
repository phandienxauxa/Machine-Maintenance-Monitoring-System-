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OneDrive\Documents\DAMH\"/>
    </mc:Choice>
  </mc:AlternateContent>
  <xr:revisionPtr revIDLastSave="0" documentId="13_ncr:1_{F6F3F06E-242A-42A4-8D29-7176B1C1481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Overview" sheetId="1" r:id="rId1"/>
    <sheet name="BO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</calcChain>
</file>

<file path=xl/sharedStrings.xml><?xml version="1.0" encoding="utf-8"?>
<sst xmlns="http://schemas.openxmlformats.org/spreadsheetml/2006/main" count="113" uniqueCount="105">
  <si>
    <t>DANH MỤC LINH KIỆN &amp; VẬT TƯ (BOM)</t>
  </si>
  <si>
    <t>Hệ Thống Giám Sát Bảo Trì Máy Móc Công Nghiệp (IIoT)</t>
  </si>
  <si>
    <t>Thông tin đồ án:</t>
  </si>
  <si>
    <t>Sinh viên thực hiện:</t>
  </si>
  <si>
    <t>Cấu hình khối nguồn:</t>
  </si>
  <si>
    <t>Khối pin 2 cell 18650 mắc nối tiếp (2S1P - 7.4V danh định)</t>
  </si>
  <si>
    <t>Nền tảng Dashboard:</t>
  </si>
  <si>
    <t>Ngày lập biểu:</t>
  </si>
  <si>
    <t>26/05/2026</t>
  </si>
  <si>
    <t>STT</t>
  </si>
  <si>
    <t>Tên Linh Kiện / Module</t>
  </si>
  <si>
    <t>Ký Hiệu Mạch</t>
  </si>
  <si>
    <t>Thông Số Kỹ Thuật Đặc Tả</t>
  </si>
  <si>
    <t>SL</t>
  </si>
  <si>
    <t>Đơn Vị</t>
  </si>
  <si>
    <t>Vai Trò Kỹ Thuật Trong Hệ Thống</t>
  </si>
  <si>
    <t>Ghi Chú Triển Khai</t>
  </si>
  <si>
    <t>ESP32-WROOM-32U</t>
  </si>
  <si>
    <t>U1</t>
  </si>
  <si>
    <t>Vi điều khiển lõi kép 240MHz, tích hợp anten ngoài qua đầu nối SMA.</t>
  </si>
  <si>
    <t>Cái</t>
  </si>
  <si>
    <t>Bắt buộc dùng bản đuôi U (Anten ngoài) để phá vỡ hiệu ứng lồng Faraday của vỏ nhôm.</t>
  </si>
  <si>
    <t>Module MPU6050</t>
  </si>
  <si>
    <t>SEN1</t>
  </si>
  <si>
    <t>Cảm biến gia tốc và góc quay MEMS 3 trục (X, Y, Z). Giao tiếp I2C xung 400kHz.</t>
  </si>
  <si>
    <t>Bộ</t>
  </si>
  <si>
    <t>Đặt tại góc xa nhất trên bo mạch PCB nhằm cách ly triệt tiêu nhiễu xung nhịp vi xử lý.</t>
  </si>
  <si>
    <t>Module AHT30</t>
  </si>
  <si>
    <t>SEN2</t>
  </si>
  <si>
    <t>Cảm biến nhiệt độ và độ ẩm kỹ thuật số thế hệ mới, chuẩn I2C.</t>
  </si>
  <si>
    <t>Cell Pin Li-Ion 18650</t>
  </si>
  <si>
    <t>BAT1</t>
  </si>
  <si>
    <t>Dung lượng danh định 3000mAh, điện áp cell 3.7V - 4.2V.</t>
  </si>
  <si>
    <t>Cell</t>
  </si>
  <si>
    <t>Chọn cell pin có dòng xả ổn định cao, nội trở thấp đồng đều.</t>
  </si>
  <si>
    <t>Mạch sạc pin 2S Type-C Tích Hợp Boost sạc cân bằng</t>
  </si>
  <si>
    <t>CHG1</t>
  </si>
  <si>
    <t>Đầu vào 5V Type-C, đầu ra sạc sạc đầy 8.4V. Chip sạc tích hợp Boost nguồn xung và sạc cân bằng từng cell.</t>
  </si>
  <si>
    <t>Mạch</t>
  </si>
  <si>
    <t>Giải pháp chuẩn tối ưu, triệt tiêu lỗi quá nạp/quá xả lệch dòng cell pin của khối nguồn nối tiếp.</t>
  </si>
  <si>
    <t>REG1</t>
  </si>
  <si>
    <t>Đảm bảo hiệu suất chuyển đổi năng lượng cao, tỏa nhiệt thấp, kéo dài tuổi thọ pin.</t>
  </si>
  <si>
    <t>ENC1</t>
  </si>
  <si>
    <t>Hộp</t>
  </si>
  <si>
    <t>Khoan lỗ luồn cáp RF SMA để đưa anten Wi-Fi ra ngoài môi trường không khí.</t>
  </si>
  <si>
    <t>Đế Nam Châm Đất Hiếm</t>
  </si>
  <si>
    <t>MECH1</t>
  </si>
  <si>
    <t>Đáp ứng triết lý thiết kế cơ động Plug-and-Play, gắn chắc chắn để truyền dẫn sóng rung động tốt nhất sang cảm biến MPU6050.</t>
  </si>
  <si>
    <t>Anten Wi-Fi SMA 2.4GHz + Dây Cáp Chuyển U.FL sang SMA</t>
  </si>
  <si>
    <t>ANT1</t>
  </si>
  <si>
    <t>Độ lợi sóng chuẩn 2.4GHz, đầu nối SMA vật lý ren vặn ngoài.</t>
  </si>
  <si>
    <t>Bắt chặt cố định đai ốc SMA lên thành vỏ nhôm công nghiệp.</t>
  </si>
  <si>
    <t>LED Chỉ Thị Trạng Thái</t>
  </si>
  <si>
    <t>LED1-3</t>
  </si>
  <si>
    <t>LED chân cắm 5mm (Màu Đỏ, Vàng, Xanh).</t>
  </si>
  <si>
    <t>Lập trình tắt LED ngay sau khi truyền xong dữ liệu để bảo toàn tối đa năng lượng pin trước khi ngủ sâu.</t>
  </si>
  <si>
    <t>Link</t>
  </si>
  <si>
    <r>
      <rPr>
        <b/>
        <sz val="11"/>
        <rFont val="Arial"/>
        <family val="2"/>
      </rPr>
      <t>Mắc nối tiếp</t>
    </r>
    <r>
      <rPr>
        <sz val="11"/>
        <rFont val="Arial"/>
      </rPr>
      <t xml:space="preserve"> cấu hình khối nguồn 2S1P (7.4V danh định, Max 8.4V) cung cấp năng lượng độc lập.</t>
    </r>
  </si>
  <si>
    <t>Nam châm lực hút vĩnh cửu siêu mạnh (D15-5mm).</t>
  </si>
  <si>
    <t xml:space="preserve">MP1584EN Mạch giảm áp 3A </t>
  </si>
  <si>
    <t xml:space="preserve">MP1584EN là một mạch giảm áp có dải điện áp đầu vào rộng từ 4.75 đến 28VDC, hiệu suất chuyển đổi lên đến 96%. </t>
  </si>
  <si>
    <t xml:space="preserve">Điện trở </t>
  </si>
  <si>
    <t>R1, R2</t>
  </si>
  <si>
    <t>Giá trị 22k Ohm và 10k Ohm, sai số nhỏ 1%, công suất 1/4W.</t>
  </si>
  <si>
    <t>Bắt buộc dùng trở sai số 1% để đảm bảo kết quả tính toán điện áp và phần trăm pin trên mã nguồn đạt độ chính xác cao nhất.</t>
  </si>
  <si>
    <t>Tụ hóa lọc nguồn</t>
  </si>
  <si>
    <t>C1</t>
  </si>
  <si>
    <t>Dung lượng 470uF, điện áp chịu đựng 16V hoặc 25V.</t>
  </si>
  <si>
    <t>Chú ý hàn đúng cực tính âm dương của tụ hóa trên bo mạch PCB để tránh chập cháy ngoại vi.</t>
  </si>
  <si>
    <r>
      <rPr>
        <b/>
        <sz val="11"/>
        <rFont val="Arial"/>
        <family val="2"/>
      </rPr>
      <t>Mắc song song</t>
    </r>
    <r>
      <rPr>
        <sz val="11"/>
        <rFont val="Arial"/>
      </rPr>
      <t xml:space="preserve"> tại đầu ra của mạch nguồn xung Buck để san phẳng điện áp, lọc bỏ các nhiễu gợn sóng tần số thấp phát sinh do quá trình đóng cắt.</t>
    </r>
  </si>
  <si>
    <t>Đọc dữ liệu định kỳ mỗi 5 phút ở trạng thái thức TIMER.</t>
  </si>
  <si>
    <t xml:space="preserve">Thái Đức Thiên </t>
  </si>
  <si>
    <t>MSSV:</t>
  </si>
  <si>
    <t>C# WinForms (DevExpress)</t>
  </si>
  <si>
    <t>https://shopee.vn/M%E1%BA%A1ch-t%C4%83ng-%C3%A1p-s%E1%BA%A1c-pin-2S-(c%C3%A2n-b%E1%BA%B1ng)-3S-(ch%E1%BB%89-s%E1%BA%A1c)-b%E1%BA%B1ng-c%E1%BB%95ng-Type-C-(5V)-i.726407379.27761929664</t>
  </si>
  <si>
    <t>https://shopee.vn/M%C3%B4-%C4%90un-C%E1%BA%A3m-Bi%E1%BA%BFn-Nhi%E1%BB%87t-%C4%90%E1%BB%99-V%C3%A0-%C4%90%E1%BB%99-%E1%BA%A8m-%C4%90%E1%BB%99-Ch%C3%ADnh-X%C3%A1c-Cao-aht10-aht20-aht30-i2c-sht20-i.578443443.15990161525</t>
  </si>
  <si>
    <t>https://shopee.vn/-NCSG-COMBO-nam-ch%C3%A2m-%C4%91%E1%BA%A5t-hi%E1%BA%BFm-TR%C3%92N-l%E1%BB%B1c-t%E1%BB%AB-N35-38-k%C3%ADch-th%C6%B0%E1%BB%9Bc-TR%C3%92N-kh%C3%A1c-nhau-tho%E1%BA%A3i-m%C3%A1i-l%E1%BB%B1a-ch%E1%BB%8Dn-(%E1%BA%A3nh-ph%C3%A2n-lo%E1%BA%A1i-th%E1%BB%B1c-t%E1%BA%BF)-i.611508322.17094675631</t>
  </si>
  <si>
    <t>https://shopee.vn/%F0%9F%9A%82H%E1%BB%8Fa-t%E1%BB%91cHCM%F0%9F%9A%82-Wroom-32U-B%E1%BA%A3n-M%E1%BA%A1ch-Ph%C3%A1t-Tri%E1%BB%83n-ESP32-38-ch%C3%A2n-CP2102-Micro-USB-k%C3%A8m-%C4%83ng-ten-Wifi-r%E1%BB%9Di-2.4Ghz-Kh%C3%B4ng-code-i.191332819.28669064962</t>
  </si>
  <si>
    <t>https://shopee.vn/Module-c%E1%BA%A3m-bi%E1%BA%BFn-gia-t%E1%BB%91c-g%C3%B3c-MPU6050-GY521-i.1048311475.22578002054</t>
  </si>
  <si>
    <t>https://www.thegioiic.com/pin-sac-lithium-18650-3000mah-10c-3-7v</t>
  </si>
  <si>
    <t>https://www.thegioiic.com/mp1584en-mach-giam-ap-3a</t>
  </si>
  <si>
    <t>https://www.thegioiic.com/tu-hoa-470uf-16v-8x12-5mm-xuyen-lo</t>
  </si>
  <si>
    <t>https://www.thegioiic.com/led-do-5mm-chan-dai</t>
  </si>
  <si>
    <t>Giá thành (đồng)</t>
  </si>
  <si>
    <t>https://www.thegioiic.com/dien-tro-10-kohm-1-4w-5-4-vong-mau</t>
  </si>
  <si>
    <t>TỔNG:</t>
  </si>
  <si>
    <r>
      <t xml:space="preserve">Xử lý trung tâm, thu thập </t>
    </r>
    <r>
      <rPr>
        <b/>
        <sz val="11"/>
        <rFont val="Arial"/>
        <family val="2"/>
      </rPr>
      <t>1024 mẫu</t>
    </r>
    <r>
      <rPr>
        <sz val="11"/>
        <rFont val="Arial"/>
      </rPr>
      <t xml:space="preserve"> thời gian, tính toán ma trận FFT tại biên và truyền JSON qua Wi-Fi Socket.</t>
    </r>
  </si>
  <si>
    <r>
      <rPr>
        <b/>
        <sz val="11"/>
        <rFont val="Arial"/>
        <family val="2"/>
      </rPr>
      <t>Đóng gói</t>
    </r>
    <r>
      <rPr>
        <sz val="11"/>
        <rFont val="Arial"/>
      </rPr>
      <t xml:space="preserve"> bảo vệ toàn bộ bo mạch phần cứng, chống va đập cơ học và chống nhiễu trường điện từ từ bên ngoài xưởng.</t>
    </r>
  </si>
  <si>
    <r>
      <t xml:space="preserve">Liên kết cơ khí </t>
    </r>
    <r>
      <rPr>
        <b/>
        <sz val="11"/>
        <rFont val="Arial"/>
        <family val="2"/>
      </rPr>
      <t>cố định chắc chắn</t>
    </r>
    <r>
      <rPr>
        <sz val="11"/>
        <rFont val="Arial"/>
      </rPr>
      <t xml:space="preserve"> toàn bộ hộp trạm nút lên vỏ máy kim loại của động cơ cần giám sát.</t>
    </r>
  </si>
  <si>
    <r>
      <t xml:space="preserve">Chỉ thị trực quan các </t>
    </r>
    <r>
      <rPr>
        <b/>
        <sz val="11"/>
        <rFont val="Arial"/>
        <family val="2"/>
      </rPr>
      <t>trạng thái</t>
    </r>
    <r>
      <rPr>
        <sz val="11"/>
        <rFont val="Arial"/>
      </rPr>
      <t xml:space="preserve"> vận hành tại chỗ: Đang kết nối mạng (Vàng), Truyền dữ liệu thành công (Xanh), Lỗi mạng/Hết pin (Đỏ).</t>
    </r>
  </si>
  <si>
    <r>
      <t xml:space="preserve">Dẫn truyền </t>
    </r>
    <r>
      <rPr>
        <b/>
        <sz val="11"/>
        <rFont val="Arial"/>
        <family val="2"/>
      </rPr>
      <t>phát sóng</t>
    </r>
    <r>
      <rPr>
        <sz val="11"/>
        <rFont val="Arial"/>
      </rPr>
      <t xml:space="preserve"> tín hiệu Wi-Fi từ module ESP32 ra bên ngoài không gian </t>
    </r>
    <r>
      <rPr>
        <b/>
        <sz val="11"/>
        <rFont val="Arial"/>
        <family val="2"/>
      </rPr>
      <t>nhà xưởng</t>
    </r>
    <r>
      <rPr>
        <sz val="11"/>
        <rFont val="Arial"/>
      </rPr>
      <t>.</t>
    </r>
  </si>
  <si>
    <r>
      <t xml:space="preserve">Sử dụng biến trở hạ điện áp dao động của khối pin 2S (6.0V - 8.4V) </t>
    </r>
    <r>
      <rPr>
        <b/>
        <sz val="11"/>
        <rFont val="Arial"/>
        <family val="2"/>
      </rPr>
      <t>xuống 3.3V</t>
    </r>
    <r>
      <rPr>
        <sz val="11"/>
        <rFont val="Arial"/>
        <family val="2"/>
      </rPr>
      <t xml:space="preserve"> ổn định cấp cho ESP32 và cảm biến.</t>
    </r>
  </si>
  <si>
    <r>
      <t xml:space="preserve">Mắc thành </t>
    </r>
    <r>
      <rPr>
        <b/>
        <sz val="11"/>
        <rFont val="Arial"/>
        <family val="2"/>
      </rPr>
      <t xml:space="preserve">mạch cầu phân áp </t>
    </r>
    <r>
      <rPr>
        <sz val="11"/>
        <rFont val="Arial"/>
      </rPr>
      <t>đưa vào chân ADC34 của ESP32 để đọc giá trị điện áp hiện tại của khối nguồn.</t>
    </r>
  </si>
  <si>
    <r>
      <t xml:space="preserve">Nâng áp từ nguồn sạc 5V phổ thông lên 8.4V để nạp chuỗi pin nối tiếp. </t>
    </r>
    <r>
      <rPr>
        <b/>
        <sz val="11"/>
        <rFont val="Arial"/>
        <family val="2"/>
      </rPr>
      <t>Điều tiết cân bằng</t>
    </r>
    <r>
      <rPr>
        <sz val="11"/>
        <rFont val="Arial"/>
      </rPr>
      <t xml:space="preserve"> điện áp giữa 2 cell qua chân trung gian BM.</t>
    </r>
  </si>
  <si>
    <r>
      <t xml:space="preserve">Giám sát quá </t>
    </r>
    <r>
      <rPr>
        <b/>
        <sz val="11"/>
        <rFont val="Arial"/>
        <family val="2"/>
      </rPr>
      <t>nhiệt</t>
    </r>
    <r>
      <rPr>
        <sz val="11"/>
        <rFont val="Arial"/>
      </rPr>
      <t xml:space="preserve"> cuộn dây bề mặt động cơ và kiểm soát </t>
    </r>
    <r>
      <rPr>
        <b/>
        <sz val="11"/>
        <rFont val="Arial"/>
        <family val="2"/>
      </rPr>
      <t>độ ẩm</t>
    </r>
    <r>
      <rPr>
        <sz val="11"/>
        <rFont val="Arial"/>
      </rPr>
      <t xml:space="preserve"> môi trường vận hành nhà xưởng.</t>
    </r>
  </si>
  <si>
    <r>
      <t xml:space="preserve">Thu mẫu </t>
    </r>
    <r>
      <rPr>
        <b/>
        <sz val="11"/>
        <rFont val="Arial"/>
        <family val="2"/>
      </rPr>
      <t>rung động</t>
    </r>
    <r>
      <rPr>
        <sz val="11"/>
        <rFont val="Arial"/>
      </rPr>
      <t xml:space="preserve"> thời gian thực phục vụ hàm </t>
    </r>
    <r>
      <rPr>
        <b/>
        <sz val="11"/>
        <rFont val="Arial"/>
        <family val="2"/>
      </rPr>
      <t>FFT</t>
    </r>
    <r>
      <rPr>
        <sz val="11"/>
        <rFont val="Arial"/>
      </rPr>
      <t xml:space="preserve">. Kích hoạt </t>
    </r>
    <r>
      <rPr>
        <b/>
        <sz val="11"/>
        <rFont val="Arial"/>
        <family val="2"/>
      </rPr>
      <t>ngắt cứng</t>
    </r>
    <r>
      <rPr>
        <sz val="11"/>
        <rFont val="Arial"/>
      </rPr>
      <t xml:space="preserve"> phần cứng đánh thức hệ thống khi va đập.</t>
    </r>
  </si>
  <si>
    <t>18/04/2026</t>
  </si>
  <si>
    <t>Ngày cập nhật cuối cùng:</t>
  </si>
  <si>
    <t>Rung động (mpu6050) và Nhiệt độ &amp; Độ ẩm (AHT30)</t>
  </si>
  <si>
    <t>Cấu hình khối cảm biến:</t>
  </si>
  <si>
    <t>GVHD:</t>
  </si>
  <si>
    <t>PGS.TS Trương Quang Vinh</t>
  </si>
  <si>
    <t>Hộp Mica Công Nghiệp</t>
  </si>
  <si>
    <t>Thiết kế từ những miếng Mica DIY kích thước 300x300x2.3 (mm)</t>
  </si>
  <si>
    <t>https://shopee.vn/product/55301979/16319925131?credential_token=8wEwiDL7XpZKatzJV3Vnvp7cnXBWhzmP2UGYYdyLq8&amp;exp_group=rollout&amp;gads_t_sig=gqRjZGVrxHCFomtpsTE0MjUxOnRzc19zZGtfa2V5omt20QABpGFsZ2_SAAAAZKNkZWvAomN0xEAAAAAMRoz0ZUjQw0QlRa--FjB0AKnHQPF7xv4DyGj9-GQwqn4zSdB6gztmw7ebmtsZs9FPJxlVqctc57WUE3IRqmNpcGhlcnRleHTEkQAAAAz1EnSCBKpjY5B08qNeWYKNscnOIbmk0NQICuxucGn7JyNUpp8yiBsbWGJ1PJbGFy2QDREzHJGTeWIb9nIJTVLsPeqYdKY1RxgaMY7iue-h-rSgR6ir8m-6OhXTZds7NNxVSwIob1AYcNGU5UikJfXt5_5J0Cod-GuvuCym8gn3Qkhdd_1Z--VEQ6jJrQ4&amp;mmp_pid=an_17370260371&amp;uls_trackid=55oseb57011v&amp;utm_campaign=id_kch7AucmuX&amp;utm_content=----&amp;utm_medium=affiliates&amp;utm_source=an_17370260371&amp;utm_term=eyvm7w1tkt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</si>
</sst>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i/>
      <sz val="12"/>
      <name val="Arial"/>
    </font>
    <font>
      <b/>
      <sz val="12"/>
      <color rgb="FF2F5597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8"/>
        <bgColor rgb="FFF2F5F8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5" fillId="3" borderId="2" xfId="0" applyFont="1" applyFill="1" applyBorder="1" applyAlignment="1">
      <alignment horizontal="left" vertical="center" wrapText="1"/>
    </xf>
    <xf numFmtId="0" fontId="10" fillId="3" borderId="2" xfId="1" applyFill="1" applyBorder="1" applyAlignment="1">
      <alignment horizontal="left" vertical="center" wrapText="1"/>
    </xf>
    <xf numFmtId="0" fontId="10" fillId="0" borderId="2" xfId="1" applyFill="1" applyBorder="1" applyAlignment="1">
      <alignment horizontal="left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6" fillId="2" borderId="4" xfId="0" applyFont="1" applyFill="1" applyBorder="1" applyAlignment="1">
      <alignment horizontal="center" vertical="center" wrapText="1"/>
    </xf>
    <xf numFmtId="164" fontId="12" fillId="4" borderId="3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ioiic.com/tu-hoa-470uf-16v-8x12-5mm-xuyen-lo" TargetMode="External"/><Relationship Id="rId3" Type="http://schemas.openxmlformats.org/officeDocument/2006/relationships/hyperlink" Target="https://shopee.vn/%F0%9F%9A%82H%E1%BB%8Fa-t%E1%BB%91cHCM%F0%9F%9A%82-Wroom-32U-B%E1%BA%A3n-M%E1%BA%A1ch-Ph%C3%A1t-Tri%E1%BB%83n-ESP32-38-ch%C3%A2n-CP2102-Micro-USB-k%C3%A8m-%C4%83ng-ten-Wifi-r%E1%BB%9Di-2.4Ghz-Kh%C3%B4ng-code-i.191332819.28669064962" TargetMode="External"/><Relationship Id="rId7" Type="http://schemas.openxmlformats.org/officeDocument/2006/relationships/hyperlink" Target="https://www.thegioiic.com/mp1584en-mach-giam-ap-3a" TargetMode="External"/><Relationship Id="rId2" Type="http://schemas.openxmlformats.org/officeDocument/2006/relationships/hyperlink" Target="https://shopee.vn/M%C3%B4-%C4%90un-C%E1%BA%A3m-Bi%E1%BA%BFn-Nhi%E1%BB%87t-%C4%90%E1%BB%99-V%C3%A0-%C4%90%E1%BB%99-%E1%BA%A8m-%C4%90%E1%BB%99-Ch%C3%ADnh-X%C3%A1c-Cao-aht10-aht20-aht30-i2c-sht20-i.578443443.15990161525" TargetMode="External"/><Relationship Id="rId1" Type="http://schemas.openxmlformats.org/officeDocument/2006/relationships/hyperlink" Target="https://shopee.vn/M%E1%BA%A1ch-t%C4%83ng-%C3%A1p-s%E1%BA%A1c-pin-2S-(c%C3%A2n-b%E1%BA%B1ng)-3S-(ch%E1%BB%89-s%E1%BA%A1c)-b%E1%BA%B1ng-c%E1%BB%95ng-Type-C-(5V)-i.726407379.27761929664" TargetMode="External"/><Relationship Id="rId6" Type="http://schemas.openxmlformats.org/officeDocument/2006/relationships/hyperlink" Target="https://www.thegioiic.com/pin-sac-lithium-18650-3000mah-10c-3-7v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shopee.vn/Module-c%E1%BA%A3m-bi%E1%BA%BFn-gia-t%E1%BB%91c-g%C3%B3c-MPU6050-GY521-i.1048311475.22578002054" TargetMode="External"/><Relationship Id="rId10" Type="http://schemas.openxmlformats.org/officeDocument/2006/relationships/hyperlink" Target="https://www.thegioiic.com/led-do-5mm-chan-dai" TargetMode="External"/><Relationship Id="rId4" Type="http://schemas.openxmlformats.org/officeDocument/2006/relationships/hyperlink" Target="https://shopee.vn/%F0%9F%9A%82H%E1%BB%8Fa-t%E1%BB%91cHCM%F0%9F%9A%82-Wroom-32U-B%E1%BA%A3n-M%E1%BA%A1ch-Ph%C3%A1t-Tri%E1%BB%83n-ESP32-38-ch%C3%A2n-CP2102-Micro-USB-k%C3%A8m-%C4%83ng-ten-Wifi-r%E1%BB%9Di-2.4Ghz-Kh%C3%B4ng-code-i.191332819.28669064962" TargetMode="External"/><Relationship Id="rId9" Type="http://schemas.openxmlformats.org/officeDocument/2006/relationships/hyperlink" Target="https://www.thegioiic.com/dien-tro-10-kohm-1-4w-5-4-vong-m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workbookViewId="0">
      <selection activeCell="C21" sqref="C21"/>
    </sheetView>
  </sheetViews>
  <sheetFormatPr defaultRowHeight="15" x14ac:dyDescent="0.25"/>
  <cols>
    <col min="1" max="1" width="12" customWidth="1"/>
    <col min="2" max="2" width="143" customWidth="1"/>
    <col min="3" max="3" width="66" customWidth="1"/>
    <col min="4" max="5" width="12" customWidth="1"/>
  </cols>
  <sheetData>
    <row r="2" spans="2:3" ht="20.25" x14ac:dyDescent="0.3">
      <c r="B2" s="1" t="s">
        <v>0</v>
      </c>
    </row>
    <row r="3" spans="2:3" ht="15.75" x14ac:dyDescent="0.25">
      <c r="B3" s="2" t="s">
        <v>1</v>
      </c>
    </row>
    <row r="5" spans="2:3" ht="15.75" x14ac:dyDescent="0.25">
      <c r="B5" s="3" t="s">
        <v>2</v>
      </c>
      <c r="C5" s="16"/>
    </row>
    <row r="6" spans="2:3" x14ac:dyDescent="0.25">
      <c r="B6" s="4" t="s">
        <v>100</v>
      </c>
      <c r="C6" s="17" t="s">
        <v>101</v>
      </c>
    </row>
    <row r="7" spans="2:3" x14ac:dyDescent="0.25">
      <c r="B7" s="4" t="s">
        <v>3</v>
      </c>
      <c r="C7" s="17" t="s">
        <v>71</v>
      </c>
    </row>
    <row r="8" spans="2:3" x14ac:dyDescent="0.25">
      <c r="B8" s="18" t="s">
        <v>72</v>
      </c>
      <c r="C8" s="19">
        <v>2313222</v>
      </c>
    </row>
    <row r="9" spans="2:3" x14ac:dyDescent="0.25">
      <c r="B9" s="18"/>
      <c r="C9" s="19"/>
    </row>
    <row r="10" spans="2:3" x14ac:dyDescent="0.25">
      <c r="B10" s="18" t="s">
        <v>99</v>
      </c>
      <c r="C10" s="19" t="s">
        <v>98</v>
      </c>
    </row>
    <row r="11" spans="2:3" x14ac:dyDescent="0.25">
      <c r="B11" s="4" t="s">
        <v>4</v>
      </c>
      <c r="C11" s="5" t="s">
        <v>5</v>
      </c>
    </row>
    <row r="12" spans="2:3" x14ac:dyDescent="0.25">
      <c r="B12" s="4" t="s">
        <v>6</v>
      </c>
      <c r="C12" s="17" t="s">
        <v>73</v>
      </c>
    </row>
    <row r="13" spans="2:3" x14ac:dyDescent="0.25">
      <c r="B13" s="4"/>
      <c r="C13" s="17"/>
    </row>
    <row r="14" spans="2:3" x14ac:dyDescent="0.25">
      <c r="B14" s="18" t="s">
        <v>7</v>
      </c>
      <c r="C14" s="17" t="s">
        <v>96</v>
      </c>
    </row>
    <row r="15" spans="2:3" x14ac:dyDescent="0.25">
      <c r="B15" s="18" t="s">
        <v>97</v>
      </c>
      <c r="C15" s="17" t="s">
        <v>8</v>
      </c>
    </row>
    <row r="16" spans="2:3" x14ac:dyDescent="0.25">
      <c r="B16" s="18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7"/>
  <sheetViews>
    <sheetView tabSelected="1" zoomScale="86" zoomScaleNormal="70" workbookViewId="0">
      <selection activeCell="L10" sqref="L10"/>
    </sheetView>
  </sheetViews>
  <sheetFormatPr defaultRowHeight="15" x14ac:dyDescent="0.25"/>
  <cols>
    <col min="1" max="1" width="6.42578125" customWidth="1"/>
    <col min="2" max="2" width="27.28515625" customWidth="1"/>
    <col min="3" max="3" width="15" customWidth="1"/>
    <col min="4" max="4" width="67.85546875" customWidth="1"/>
    <col min="5" max="5" width="8" customWidth="1"/>
    <col min="6" max="6" width="10" customWidth="1"/>
    <col min="7" max="7" width="55.7109375" customWidth="1"/>
    <col min="8" max="8" width="48" customWidth="1"/>
    <col min="9" max="9" width="55.85546875" customWidth="1"/>
    <col min="10" max="10" width="23.28515625" style="24" customWidth="1"/>
  </cols>
  <sheetData>
    <row r="2" spans="1:10" ht="27.95" customHeight="1" x14ac:dyDescent="0.25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56</v>
      </c>
      <c r="J2" s="6" t="s">
        <v>83</v>
      </c>
    </row>
    <row r="3" spans="1:10" ht="60.75" customHeight="1" x14ac:dyDescent="0.25">
      <c r="A3" s="7">
        <v>1</v>
      </c>
      <c r="B3" s="8" t="s">
        <v>17</v>
      </c>
      <c r="C3" s="7" t="s">
        <v>18</v>
      </c>
      <c r="D3" s="8" t="s">
        <v>19</v>
      </c>
      <c r="E3" s="9">
        <v>1</v>
      </c>
      <c r="F3" s="7" t="s">
        <v>20</v>
      </c>
      <c r="G3" s="13" t="s">
        <v>86</v>
      </c>
      <c r="H3" s="13" t="s">
        <v>21</v>
      </c>
      <c r="I3" s="22" t="s">
        <v>77</v>
      </c>
      <c r="J3" s="23">
        <v>149</v>
      </c>
    </row>
    <row r="4" spans="1:10" ht="52.5" customHeight="1" x14ac:dyDescent="0.25">
      <c r="A4" s="10">
        <v>2</v>
      </c>
      <c r="B4" s="11" t="s">
        <v>22</v>
      </c>
      <c r="C4" s="10" t="s">
        <v>23</v>
      </c>
      <c r="D4" s="11" t="s">
        <v>24</v>
      </c>
      <c r="E4" s="12">
        <v>1</v>
      </c>
      <c r="F4" s="10" t="s">
        <v>25</v>
      </c>
      <c r="G4" s="14" t="s">
        <v>95</v>
      </c>
      <c r="H4" s="11" t="s">
        <v>26</v>
      </c>
      <c r="I4" s="21" t="s">
        <v>78</v>
      </c>
      <c r="J4" s="23">
        <v>60.11</v>
      </c>
    </row>
    <row r="5" spans="1:10" ht="53.25" customHeight="1" x14ac:dyDescent="0.25">
      <c r="A5" s="7">
        <v>3</v>
      </c>
      <c r="B5" s="8" t="s">
        <v>27</v>
      </c>
      <c r="C5" s="7" t="s">
        <v>28</v>
      </c>
      <c r="D5" s="8" t="s">
        <v>29</v>
      </c>
      <c r="E5" s="9">
        <v>1</v>
      </c>
      <c r="F5" s="7" t="s">
        <v>20</v>
      </c>
      <c r="G5" s="13" t="s">
        <v>94</v>
      </c>
      <c r="H5" s="13" t="s">
        <v>70</v>
      </c>
      <c r="I5" s="22" t="s">
        <v>75</v>
      </c>
      <c r="J5" s="24">
        <v>29.984000000000002</v>
      </c>
    </row>
    <row r="6" spans="1:10" ht="59.25" customHeight="1" x14ac:dyDescent="0.25">
      <c r="A6" s="7">
        <v>4</v>
      </c>
      <c r="B6" s="8" t="s">
        <v>30</v>
      </c>
      <c r="C6" s="7" t="s">
        <v>31</v>
      </c>
      <c r="D6" s="8" t="s">
        <v>32</v>
      </c>
      <c r="E6" s="9">
        <v>2</v>
      </c>
      <c r="F6" s="7" t="s">
        <v>33</v>
      </c>
      <c r="G6" s="13" t="s">
        <v>57</v>
      </c>
      <c r="H6" s="8" t="s">
        <v>34</v>
      </c>
      <c r="I6" s="22" t="s">
        <v>79</v>
      </c>
      <c r="J6" s="23">
        <v>189.24</v>
      </c>
    </row>
    <row r="7" spans="1:10" ht="81.75" customHeight="1" x14ac:dyDescent="0.25">
      <c r="A7" s="10">
        <v>5</v>
      </c>
      <c r="B7" s="11" t="s">
        <v>35</v>
      </c>
      <c r="C7" s="10" t="s">
        <v>36</v>
      </c>
      <c r="D7" s="11" t="s">
        <v>37</v>
      </c>
      <c r="E7" s="12">
        <v>1</v>
      </c>
      <c r="F7" s="10" t="s">
        <v>38</v>
      </c>
      <c r="G7" s="14" t="s">
        <v>93</v>
      </c>
      <c r="H7" s="11" t="s">
        <v>39</v>
      </c>
      <c r="I7" s="21" t="s">
        <v>74</v>
      </c>
      <c r="J7" s="23">
        <v>52</v>
      </c>
    </row>
    <row r="8" spans="1:10" ht="84.75" customHeight="1" x14ac:dyDescent="0.25">
      <c r="A8" s="7">
        <v>6</v>
      </c>
      <c r="B8" s="13" t="s">
        <v>59</v>
      </c>
      <c r="C8" s="7" t="s">
        <v>40</v>
      </c>
      <c r="D8" s="13" t="s">
        <v>60</v>
      </c>
      <c r="E8" s="9">
        <v>1</v>
      </c>
      <c r="F8" s="7" t="s">
        <v>38</v>
      </c>
      <c r="G8" s="13" t="s">
        <v>91</v>
      </c>
      <c r="H8" s="8" t="s">
        <v>41</v>
      </c>
      <c r="I8" s="22" t="s">
        <v>80</v>
      </c>
      <c r="J8" s="23">
        <v>17.100000000000001</v>
      </c>
    </row>
    <row r="9" spans="1:10" ht="83.25" customHeight="1" x14ac:dyDescent="0.25">
      <c r="A9" s="10">
        <v>7</v>
      </c>
      <c r="B9" s="11" t="s">
        <v>65</v>
      </c>
      <c r="C9" s="10" t="s">
        <v>66</v>
      </c>
      <c r="D9" s="11" t="s">
        <v>67</v>
      </c>
      <c r="E9" s="12">
        <v>1</v>
      </c>
      <c r="F9" s="10" t="s">
        <v>20</v>
      </c>
      <c r="G9" s="14" t="s">
        <v>69</v>
      </c>
      <c r="H9" s="11" t="s">
        <v>68</v>
      </c>
      <c r="I9" s="21" t="s">
        <v>81</v>
      </c>
      <c r="J9" s="23">
        <v>9.1199999999999992</v>
      </c>
    </row>
    <row r="10" spans="1:10" ht="75.75" customHeight="1" x14ac:dyDescent="0.25">
      <c r="A10" s="10">
        <v>8</v>
      </c>
      <c r="B10" s="14" t="s">
        <v>61</v>
      </c>
      <c r="C10" s="10" t="s">
        <v>62</v>
      </c>
      <c r="D10" s="11" t="s">
        <v>63</v>
      </c>
      <c r="E10" s="12">
        <v>2</v>
      </c>
      <c r="F10" s="10" t="s">
        <v>20</v>
      </c>
      <c r="G10" s="14" t="s">
        <v>92</v>
      </c>
      <c r="H10" s="11" t="s">
        <v>64</v>
      </c>
      <c r="I10" s="21" t="s">
        <v>84</v>
      </c>
      <c r="J10" s="23">
        <v>2.75</v>
      </c>
    </row>
    <row r="11" spans="1:10" ht="69" customHeight="1" x14ac:dyDescent="0.25">
      <c r="A11" s="10">
        <v>9</v>
      </c>
      <c r="B11" s="8" t="s">
        <v>102</v>
      </c>
      <c r="C11" s="7" t="s">
        <v>42</v>
      </c>
      <c r="D11" s="8" t="s">
        <v>103</v>
      </c>
      <c r="E11" s="9">
        <v>1</v>
      </c>
      <c r="F11" s="7" t="s">
        <v>43</v>
      </c>
      <c r="G11" s="13" t="s">
        <v>87</v>
      </c>
      <c r="H11" s="8" t="s">
        <v>44</v>
      </c>
      <c r="I11" s="30" t="s">
        <v>104</v>
      </c>
      <c r="J11" s="31">
        <v>126</v>
      </c>
    </row>
    <row r="12" spans="1:10" ht="87" customHeight="1" x14ac:dyDescent="0.25">
      <c r="A12" s="10">
        <v>10</v>
      </c>
      <c r="B12" s="11" t="s">
        <v>45</v>
      </c>
      <c r="C12" s="10" t="s">
        <v>46</v>
      </c>
      <c r="D12" s="14" t="s">
        <v>58</v>
      </c>
      <c r="E12" s="12">
        <v>5</v>
      </c>
      <c r="F12" s="10" t="s">
        <v>25</v>
      </c>
      <c r="G12" s="14" t="s">
        <v>88</v>
      </c>
      <c r="H12" s="11" t="s">
        <v>47</v>
      </c>
      <c r="I12" s="20" t="s">
        <v>76</v>
      </c>
      <c r="J12" s="23">
        <v>94.68</v>
      </c>
    </row>
    <row r="13" spans="1:10" ht="79.5" customHeight="1" x14ac:dyDescent="0.25">
      <c r="A13" s="10">
        <v>11</v>
      </c>
      <c r="B13" s="8" t="s">
        <v>48</v>
      </c>
      <c r="C13" s="7" t="s">
        <v>49</v>
      </c>
      <c r="D13" s="8" t="s">
        <v>50</v>
      </c>
      <c r="E13" s="9">
        <v>1</v>
      </c>
      <c r="F13" s="7" t="s">
        <v>25</v>
      </c>
      <c r="G13" s="13" t="s">
        <v>90</v>
      </c>
      <c r="H13" s="8" t="s">
        <v>51</v>
      </c>
      <c r="I13" s="22" t="s">
        <v>77</v>
      </c>
      <c r="J13" s="23">
        <v>42.9</v>
      </c>
    </row>
    <row r="14" spans="1:10" ht="83.25" customHeight="1" x14ac:dyDescent="0.25">
      <c r="A14" s="10">
        <v>12</v>
      </c>
      <c r="B14" s="11" t="s">
        <v>52</v>
      </c>
      <c r="C14" s="10" t="s">
        <v>53</v>
      </c>
      <c r="D14" s="11" t="s">
        <v>54</v>
      </c>
      <c r="E14" s="12">
        <v>3</v>
      </c>
      <c r="F14" s="10" t="s">
        <v>20</v>
      </c>
      <c r="G14" s="14" t="s">
        <v>89</v>
      </c>
      <c r="H14" s="11" t="s">
        <v>55</v>
      </c>
      <c r="I14" s="21" t="s">
        <v>82</v>
      </c>
      <c r="J14" s="23">
        <v>17.100000000000001</v>
      </c>
    </row>
    <row r="15" spans="1:10" x14ac:dyDescent="0.25">
      <c r="A15" s="10"/>
      <c r="B15" s="15"/>
    </row>
    <row r="16" spans="1:10" x14ac:dyDescent="0.25">
      <c r="A16" s="28"/>
      <c r="B16" s="29"/>
    </row>
    <row r="17" spans="9:10" s="25" customFormat="1" ht="28.5" customHeight="1" x14ac:dyDescent="0.25">
      <c r="I17" s="26" t="s">
        <v>85</v>
      </c>
      <c r="J17" s="27">
        <f>SUM(J3:J14)</f>
        <v>789.98400000000015</v>
      </c>
    </row>
  </sheetData>
  <hyperlinks>
    <hyperlink ref="I7" r:id="rId1" xr:uid="{B085BCE0-A591-455F-A1DE-5BC08D1A51CD}"/>
    <hyperlink ref="I5" r:id="rId2" xr:uid="{87618FFF-D2B0-4FF6-910F-3EB0BB121217}"/>
    <hyperlink ref="I3" r:id="rId3" xr:uid="{4BBF288C-3EB2-42E9-A0F6-13D42CD67498}"/>
    <hyperlink ref="I13" r:id="rId4" xr:uid="{2F371836-BF8F-4C44-ABFE-1813B9D46C09}"/>
    <hyperlink ref="I4" r:id="rId5" xr:uid="{B07446F7-F98C-45D1-ACDF-0FF77862F528}"/>
    <hyperlink ref="I6" r:id="rId6" xr:uid="{3F537305-341D-4C34-A083-C78796C0CFA9}"/>
    <hyperlink ref="I8" r:id="rId7" xr:uid="{21C1F77C-FC0B-4AAD-BFEA-624F89854ADE}"/>
    <hyperlink ref="I9" r:id="rId8" xr:uid="{D1C4AAD8-5E45-4188-9EE6-1F15FCAC659F}"/>
    <hyperlink ref="I10" r:id="rId9" xr:uid="{19D27205-F63F-479C-90CB-E218F7B1F21F}"/>
    <hyperlink ref="I14" r:id="rId10" xr:uid="{D96A477E-9E1F-4474-8F93-E7DF3FAC7AA6}"/>
  </hyperlinks>
  <pageMargins left="0.75" right="0.75" top="1" bottom="1" header="0.5" footer="0.5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Thiên Thái Đức</cp:lastModifiedBy>
  <dcterms:created xsi:type="dcterms:W3CDTF">2026-05-26T13:16:50Z</dcterms:created>
  <dcterms:modified xsi:type="dcterms:W3CDTF">2026-05-29T03:37:03Z</dcterms:modified>
</cp:coreProperties>
</file>